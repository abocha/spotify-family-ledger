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ее" sheetId="1" r:id="rId5"/>
    <sheet state="visible" name="Месяцы" sheetId="2" r:id="rId6"/>
    <sheet state="visible" name="Платежи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tc={6c51cde0-64b7-4679-bdfc-9ed9e61475d1}</author>
  </authors>
  <commentList>
    <comment authorId="0" xr:uid="{6c51cde0-64b7-4679-bdfc-9ed9e61475d1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Запомни, нет ничего важнее семьи
Reply:
	Помечено как решенное
Reply:
	Открыто повторно
</t>
      </text>
    </comment>
  </commentList>
</comments>
</file>

<file path=xl/sharedStrings.xml><?xml version="1.0" encoding="utf-8"?>
<sst xmlns="http://schemas.openxmlformats.org/spreadsheetml/2006/main" count="33" uniqueCount="32">
  <si>
    <t>Семья</t>
  </si>
  <si>
    <t>Баланс сейчас</t>
  </si>
  <si>
    <t>К оплате в этом месяце</t>
  </si>
  <si>
    <t>Баланс через месяц</t>
  </si>
  <si>
    <t>Денег хватит до</t>
  </si>
  <si>
    <t>Андрей👑</t>
  </si>
  <si>
    <t>Рубли сюда</t>
  </si>
  <si>
    <t>!!!!!ОЗОН БАНК!!!!</t>
  </si>
  <si>
    <t>Гала</t>
  </si>
  <si>
    <t>Семен</t>
  </si>
  <si>
    <t xml:space="preserve"> </t>
  </si>
  <si>
    <t>Даша</t>
  </si>
  <si>
    <t>Даня</t>
  </si>
  <si>
    <t>В семье</t>
  </si>
  <si>
    <t>из 6</t>
  </si>
  <si>
    <t>человек</t>
  </si>
  <si>
    <t>Сегодня</t>
  </si>
  <si>
    <t>Цена подписки</t>
  </si>
  <si>
    <t>на человека</t>
  </si>
  <si>
    <t>Следующее списание</t>
  </si>
  <si>
    <t>Курс</t>
  </si>
  <si>
    <t>Осталось дней</t>
  </si>
  <si>
    <t>::::::::::::::::::::::::::::::::::::::::::::::::::::::::::::::::::::::::::::::::::::::</t>
  </si>
  <si>
    <t>*,</t>
  </si>
  <si>
    <t>Дата</t>
  </si>
  <si>
    <t>Участников</t>
  </si>
  <si>
    <t>Цена</t>
  </si>
  <si>
    <t>Начислено</t>
  </si>
  <si>
    <t>Начиная с</t>
  </si>
  <si>
    <t>Луиза</t>
  </si>
  <si>
    <t>Сумма</t>
  </si>
  <si>
    <t>Платежи/дата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</si>
</sst>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[$$]#,##0.00"/>
    <numFmt numFmtId="166" formatCode="d.m.yy"/>
    <numFmt numFmtId="167" formatCode="dd.mm.yyyy"/>
    <numFmt numFmtId="168" formatCode="[$$]#,##0"/>
    <numFmt numFmtId="169" formatCode="[$₽]#,##0"/>
    <numFmt numFmtId="170" formatCode="[$р.-419]#,##0.00"/>
    <numFmt numFmtId="171" formatCode="dd.mm.yy"/>
    <numFmt numFmtId="172" formatCode="dd.MM.yyyy"/>
    <numFmt numFmtId="173" formatCode="d.m.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4" fillId="0" fontId="3" numFmtId="0" xfId="0" applyBorder="1" applyFont="1"/>
    <xf borderId="5" fillId="0" fontId="3" numFmtId="0" xfId="0" applyBorder="1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Border="1" applyFont="1" applyNumberFormat="1"/>
    <xf borderId="5" fillId="0" fontId="2" numFmtId="164" xfId="0" applyBorder="1" applyFont="1" applyNumberFormat="1"/>
    <xf borderId="1" fillId="0" fontId="2" numFmtId="14" xfId="0" applyBorder="1" applyFont="1" applyNumberFormat="1"/>
    <xf borderId="1" fillId="0" fontId="2" numFmtId="0" xfId="0" applyBorder="1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5" fillId="0" fontId="2" numFmtId="0" xfId="0" applyBorder="1" applyFont="1"/>
    <xf borderId="2" fillId="0" fontId="2" numFmtId="0" xfId="0" applyAlignment="1" applyBorder="1" applyFont="1">
      <alignment readingOrder="0"/>
    </xf>
    <xf borderId="6" fillId="0" fontId="2" numFmtId="0" xfId="0" applyBorder="1" applyFont="1"/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167" xfId="0" applyAlignment="1" applyBorder="1" applyFont="1" applyNumberFormat="1">
      <alignment readingOrder="0"/>
    </xf>
    <xf borderId="9" fillId="0" fontId="2" numFmtId="0" xfId="0" applyAlignment="1" applyBorder="1" applyFont="1">
      <alignment readingOrder="0"/>
    </xf>
    <xf borderId="8" fillId="0" fontId="3" numFmtId="0" xfId="0" applyBorder="1" applyFont="1"/>
    <xf borderId="4" fillId="0" fontId="2" numFmtId="0" xfId="0" applyAlignment="1" applyBorder="1" applyFont="1">
      <alignment readingOrder="0"/>
    </xf>
    <xf borderId="10" fillId="0" fontId="2" numFmtId="168" xfId="0" applyAlignment="1" applyBorder="1" applyFont="1" applyNumberFormat="1">
      <alignment readingOrder="0"/>
    </xf>
    <xf borderId="3" fillId="0" fontId="2" numFmtId="165" xfId="0" applyBorder="1" applyFont="1" applyNumberFormat="1"/>
    <xf borderId="11" fillId="0" fontId="2" numFmtId="0" xfId="0" applyAlignment="1" applyBorder="1" applyFont="1">
      <alignment readingOrder="0"/>
    </xf>
    <xf borderId="8" fillId="0" fontId="2" numFmtId="14" xfId="0" applyBorder="1" applyFont="1" applyNumberFormat="1"/>
    <xf borderId="5" fillId="0" fontId="2" numFmtId="169" xfId="0" applyBorder="1" applyFont="1" applyNumberFormat="1"/>
    <xf borderId="0" fillId="0" fontId="2" numFmtId="4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172" xfId="0" applyAlignment="1" applyBorder="1" applyFont="1" applyNumberFormat="1">
      <alignment readingOrder="0"/>
    </xf>
    <xf borderId="0" fillId="0" fontId="2" numFmtId="172" xfId="0" applyFont="1" applyNumberFormat="1"/>
    <xf borderId="0" fillId="0" fontId="2" numFmtId="173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12" fillId="0" fontId="2" numFmtId="0" xfId="0" applyAlignment="1" applyBorder="1" applyFont="1">
      <alignment readingOrder="0"/>
    </xf>
    <xf borderId="13" fillId="0" fontId="2" numFmtId="0" xfId="0" applyBorder="1" applyFont="1"/>
    <xf borderId="2" fillId="0" fontId="2" numFmtId="0" xfId="0" applyBorder="1" applyFont="1"/>
    <xf borderId="12" fillId="0" fontId="2" numFmtId="0" xfId="0" applyBorder="1" applyFont="1"/>
    <xf borderId="14" fillId="0" fontId="2" numFmtId="0" xfId="0" applyAlignment="1" applyBorder="1" applyFont="1">
      <alignment readingOrder="0"/>
    </xf>
    <xf borderId="15" fillId="0" fontId="2" numFmtId="164" xfId="0" applyBorder="1" applyFont="1" applyNumberFormat="1"/>
    <xf borderId="16" fillId="0" fontId="2" numFmtId="0" xfId="0" applyBorder="1" applyFont="1"/>
    <xf borderId="17" fillId="0" fontId="2" numFmtId="0" xfId="0" applyBorder="1" applyFont="1"/>
    <xf borderId="18" fillId="0" fontId="2" numFmtId="164" xfId="0" applyBorder="1" applyFont="1" applyNumberFormat="1"/>
    <xf borderId="19" fillId="0" fontId="2" numFmtId="0" xfId="0" applyAlignment="1" applyBorder="1" applyFont="1">
      <alignment readingOrder="0"/>
    </xf>
    <xf borderId="11" fillId="0" fontId="2" numFmtId="164" xfId="0" applyAlignment="1" applyBorder="1" applyFont="1" applyNumberFormat="1">
      <alignment readingOrder="0"/>
    </xf>
    <xf borderId="20" fillId="0" fontId="2" numFmtId="167" xfId="0" applyAlignment="1" applyBorder="1" applyFont="1" applyNumberFormat="1">
      <alignment readingOrder="0"/>
    </xf>
    <xf borderId="21" fillId="0" fontId="2" numFmtId="164" xfId="0" applyAlignment="1" applyBorder="1" applyFont="1" applyNumberFormat="1">
      <alignment readingOrder="0"/>
    </xf>
    <xf borderId="22" fillId="0" fontId="2" numFmtId="0" xfId="0" applyBorder="1" applyFont="1"/>
    <xf borderId="9" fillId="0" fontId="2" numFmtId="167" xfId="0" applyAlignment="1" applyBorder="1" applyFont="1" applyNumberFormat="1">
      <alignment readingOrder="0"/>
    </xf>
    <xf borderId="21" fillId="0" fontId="2" numFmtId="164" xfId="0" applyAlignment="1" applyBorder="1" applyFont="1" applyNumberFormat="1">
      <alignment readingOrder="0"/>
    </xf>
    <xf borderId="23" fillId="0" fontId="2" numFmtId="0" xfId="0" applyBorder="1" applyFont="1"/>
    <xf borderId="8" fillId="0" fontId="2" numFmtId="164" xfId="0" applyAlignment="1" applyBorder="1" applyFont="1" applyNumberFormat="1">
      <alignment readingOrder="0"/>
    </xf>
    <xf borderId="24" fillId="0" fontId="2" numFmtId="164" xfId="0" applyAlignment="1" applyBorder="1" applyFont="1" applyNumberFormat="1">
      <alignment readingOrder="0"/>
    </xf>
    <xf borderId="20" fillId="0" fontId="2" numFmtId="0" xfId="0" applyBorder="1" applyFont="1"/>
    <xf borderId="24" fillId="0" fontId="2" numFmtId="164" xfId="0" applyAlignment="1" applyBorder="1" applyFont="1" applyNumberFormat="1">
      <alignment readingOrder="0"/>
    </xf>
    <xf borderId="8" fillId="0" fontId="2" numFmtId="164" xfId="0" applyBorder="1" applyFont="1" applyNumberFormat="1"/>
    <xf borderId="22" fillId="0" fontId="2" numFmtId="0" xfId="0" applyAlignment="1" applyBorder="1" applyFont="1">
      <alignment readingOrder="0"/>
    </xf>
    <xf borderId="20" fillId="0" fontId="2" numFmtId="171" xfId="0" applyAlignment="1" applyBorder="1" applyFont="1" applyNumberFormat="1">
      <alignment readingOrder="0"/>
    </xf>
    <xf borderId="20" fillId="0" fontId="2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Баяны Бабаяны" id="{c257596d-14d9-4ab8-b960-ff0c5937c425}" providerId="google-sheets"/>
  <x18tc:person displayName="Andrei" id="{c8597ccf-c3ec-4b61-b774-46639085315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" dT="2022-03-13T19:10:03.00" personId="{c257596d-14d9-4ab8-b960-ff0c5937c425}" id="{6c51cde0-64b7-4679-bdfc-9ed9e61475d1}" done="1">
    <x18tc:text xml:space="preserve">Запомни, нет ничего важнее семьи</x18tc:text>
  </x18tc:threadedComment>
  <x18tc:threadedComment ref="B9" dT="2022-03-13T19:26:10.00" personId="{c8597ccf-c3ec-4b61-b774-46639085315a}" id="{a01b2a81-f2ef-43d8-a26d-9016cdbe446c}" parentId="{6c51cde0-64b7-4679-bdfc-9ed9e61475d1}">
    <x18tc:text xml:space="preserve">Помечено как решенное</x18tc:text>
  </x18tc:threadedComment>
  <x18tc:threadedComment ref="B9" dT="2022-03-13T19:26:13.00" personId="{c8597ccf-c3ec-4b61-b774-46639085315a}" id="{afb9d91e-af21-408d-9c51-83796075f41e}" parentId="{6c51cde0-64b7-4679-bdfc-9ed9e61475d1}">
    <x18tc:text xml:space="preserve">Открыто повторно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5"/>
      <c r="C2" s="6"/>
      <c r="D2" s="6"/>
      <c r="E2" s="6"/>
      <c r="H2" s="7" t="s">
        <v>6</v>
      </c>
      <c r="I2" s="7" t="str">
        <f>"+77055488419"</f>
        <v>+77055488419</v>
      </c>
      <c r="J2" s="8" t="s">
        <v>7</v>
      </c>
    </row>
    <row r="3">
      <c r="A3" s="4" t="s">
        <v>8</v>
      </c>
      <c r="B3" s="9">
        <f>IF('Месяцы'!G2&gt;0,'Платежи'!B$2-'Месяцы'!F2,)</f>
        <v>1.333333333</v>
      </c>
      <c r="C3" s="10">
        <f t="shared" ref="C3:C7" si="1">IFS(ISBLANK(B3),, B3&lt;0,ABS(B3),B3&gt;=0,0)</f>
        <v>0</v>
      </c>
      <c r="D3" s="11">
        <f t="shared" ref="D3:D7" si="2">if(isblank(B3),,B3-$C$12)</f>
        <v>0</v>
      </c>
      <c r="E3" s="12">
        <f t="shared" ref="E3:E7" si="3">if(ISBLANK(B3), ,IF(B3/$C$12&gt;=0, DATE(YEAR($E$12),MONTH($E$12) +DIVIDE(B3, $C$12),DAY($E$12)),"Плоти нологи"))</f>
        <v>46162</v>
      </c>
    </row>
    <row r="4">
      <c r="A4" s="4" t="s">
        <v>9</v>
      </c>
      <c r="B4" s="9">
        <f>IF('Месяцы'!G3&gt;0,'Платежи'!D$2-'Месяцы'!F3,)</f>
        <v>-2.062535262</v>
      </c>
      <c r="C4" s="10">
        <f t="shared" si="1"/>
        <v>2.062535262</v>
      </c>
      <c r="D4" s="11">
        <f t="shared" si="2"/>
        <v>-3.395868595</v>
      </c>
      <c r="E4" s="13" t="str">
        <f t="shared" si="3"/>
        <v>Плоти нологи</v>
      </c>
      <c r="G4" s="14"/>
      <c r="H4" s="15"/>
      <c r="I4" s="7" t="s">
        <v>10</v>
      </c>
    </row>
    <row r="5">
      <c r="A5" s="4" t="s">
        <v>11</v>
      </c>
      <c r="B5" s="4"/>
      <c r="C5" s="10" t="str">
        <f t="shared" si="1"/>
        <v/>
      </c>
      <c r="D5" s="16" t="str">
        <f t="shared" si="2"/>
        <v/>
      </c>
      <c r="E5" s="13" t="str">
        <f t="shared" si="3"/>
        <v/>
      </c>
      <c r="G5" s="14"/>
    </row>
    <row r="6">
      <c r="A6" s="4" t="str">
        <f>'Месяцы'!E5</f>
        <v>Луиза</v>
      </c>
      <c r="B6" s="9">
        <f>IF('Месяцы'!G5&gt;0,'Платежи'!H$2-'Месяцы'!F5,)</f>
        <v>-2.666666667</v>
      </c>
      <c r="C6" s="10">
        <f t="shared" si="1"/>
        <v>2.666666667</v>
      </c>
      <c r="D6" s="11">
        <f t="shared" si="2"/>
        <v>-4</v>
      </c>
      <c r="E6" s="13" t="str">
        <f t="shared" si="3"/>
        <v>Плоти нологи</v>
      </c>
      <c r="G6" s="14"/>
    </row>
    <row r="7">
      <c r="A7" s="4" t="s">
        <v>12</v>
      </c>
      <c r="B7" s="9">
        <f>IF('Месяцы'!G6&gt;0,'Платежи'!J$2-'Месяцы'!F6,)</f>
        <v>0.005</v>
      </c>
      <c r="C7" s="10">
        <f t="shared" si="1"/>
        <v>0</v>
      </c>
      <c r="D7" s="11">
        <f t="shared" si="2"/>
        <v>-1.328333333</v>
      </c>
      <c r="E7" s="12">
        <f t="shared" si="3"/>
        <v>46132</v>
      </c>
    </row>
    <row r="11">
      <c r="A11" s="17" t="s">
        <v>13</v>
      </c>
      <c r="B11" s="18">
        <f>counta(A2:A7)</f>
        <v>6</v>
      </c>
      <c r="C11" s="19" t="s">
        <v>14</v>
      </c>
      <c r="D11" s="20" t="s">
        <v>15</v>
      </c>
      <c r="E11" s="21">
        <f>today()</f>
        <v>46118</v>
      </c>
      <c r="F11" s="22" t="s">
        <v>16</v>
      </c>
      <c r="G11" s="23"/>
    </row>
    <row r="12">
      <c r="A12" s="24" t="s">
        <v>17</v>
      </c>
      <c r="B12" s="25">
        <v>8.0</v>
      </c>
      <c r="C12" s="26">
        <f>B12/B11</f>
        <v>1.333333333</v>
      </c>
      <c r="D12" s="27" t="s">
        <v>18</v>
      </c>
      <c r="E12" s="28">
        <f>IF(DAY(E11)&lt;20,DATE(YEAR(E11),MONTH(E11),20),DATE(YEAR(E11),MONTH(E11)+1,20))</f>
        <v>46132</v>
      </c>
      <c r="F12" s="22" t="s">
        <v>19</v>
      </c>
      <c r="G12" s="23"/>
    </row>
    <row r="13">
      <c r="A13" s="7" t="s">
        <v>20</v>
      </c>
      <c r="C13" s="29">
        <f>C12*A14</f>
        <v>106.7867867</v>
      </c>
      <c r="E13" s="13">
        <f>E12-E11</f>
        <v>14</v>
      </c>
      <c r="F13" s="22" t="s">
        <v>21</v>
      </c>
      <c r="G13" s="23"/>
    </row>
    <row r="14">
      <c r="A14" s="30">
        <f>IFERROR(__xludf.DUMMYFUNCTION("GOOGLEFINANCE(""currency:"" &amp;""USD"" &amp;""RUB"",""average"")"),80.09009)</f>
        <v>80.09009</v>
      </c>
    </row>
    <row r="15">
      <c r="B15" s="14"/>
    </row>
    <row r="17">
      <c r="B17" s="31"/>
    </row>
    <row r="18">
      <c r="B18" s="31"/>
    </row>
    <row r="23">
      <c r="B23" s="32"/>
    </row>
    <row r="37">
      <c r="P37" s="7" t="s">
        <v>22</v>
      </c>
    </row>
    <row r="48">
      <c r="T48" s="7" t="s">
        <v>23</v>
      </c>
    </row>
  </sheetData>
  <mergeCells count="7">
    <mergeCell ref="B1:B2"/>
    <mergeCell ref="C1:C2"/>
    <mergeCell ref="D1:D2"/>
    <mergeCell ref="E1:E2"/>
    <mergeCell ref="F11:G11"/>
    <mergeCell ref="F12:G12"/>
    <mergeCell ref="F13:G13"/>
  </mergeCells>
  <conditionalFormatting sqref="D3:D7">
    <cfRule type="cellIs" dxfId="0" priority="1" operator="lessThan">
      <formula>0</formula>
    </cfRule>
  </conditionalFormatting>
  <conditionalFormatting sqref="D3:D7">
    <cfRule type="cellIs" dxfId="1" priority="2" operator="greaterThanOrEqual">
      <formula>0</formula>
    </cfRule>
  </conditionalFormatting>
  <conditionalFormatting sqref="C3:C7">
    <cfRule type="cellIs" dxfId="1" priority="3" operator="equal">
      <formula>0</formula>
    </cfRule>
  </conditionalFormatting>
  <conditionalFormatting sqref="C3:C7">
    <cfRule type="cellIs" dxfId="0" priority="4" operator="greaterThan">
      <formula>0</formula>
    </cfRule>
  </conditionalFormatting>
  <conditionalFormatting sqref="B3:B7">
    <cfRule type="cellIs" dxfId="0" priority="5" operator="lessThan">
      <formula>0</formula>
    </cfRule>
  </conditionalFormatting>
  <conditionalFormatting sqref="B3:B7">
    <cfRule type="cellIs" dxfId="1" priority="6" operator="greaterThanOrEqual">
      <formula>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24</v>
      </c>
      <c r="B1" s="4" t="s">
        <v>25</v>
      </c>
      <c r="C1" s="4" t="s">
        <v>26</v>
      </c>
      <c r="F1" s="4" t="s">
        <v>27</v>
      </c>
      <c r="G1" s="33" t="s">
        <v>28</v>
      </c>
    </row>
    <row r="2">
      <c r="A2" s="34">
        <v>45066.0</v>
      </c>
      <c r="B2" s="4">
        <v>5.0</v>
      </c>
      <c r="C2" s="4">
        <v>0.0</v>
      </c>
      <c r="E2" s="4" t="str">
        <f>'Общее'!A3</f>
        <v>Гала</v>
      </c>
      <c r="F2" s="10">
        <f t="array" ref="F2">ifna(if(G2&lt;='Общее'!$E$11, SUM(INDIRECT(ADDRESS(MATCH(G2,$A$1:$A$30),3)):INDIRECT(ADDRESS(MATCH('Общее'!$E$11,$A$1:$A$30),3))),0),)</f>
        <v>8</v>
      </c>
      <c r="G2" s="34">
        <v>45767.0</v>
      </c>
    </row>
    <row r="3">
      <c r="A3" s="34">
        <v>45097.0</v>
      </c>
      <c r="B3" s="4">
        <v>5.0</v>
      </c>
      <c r="C3" s="10">
        <f>IFERROR(if(ISBLANK(B2),,'Общее'!$B$12/B3),"")</f>
        <v>1.6</v>
      </c>
      <c r="D3" s="35"/>
      <c r="E3" s="4" t="str">
        <f>'Общее'!A4</f>
        <v>Семен</v>
      </c>
      <c r="F3" s="10">
        <f t="array" ref="F3">ifna(if(G3&lt;='Общее'!$E$11, SUM(INDIRECT(ADDRESS(MATCH(G3,$A$1:$A$30),3)):INDIRECT(ADDRESS(MATCH('Общее'!$E$11,$A$1:$A$30),3))),0),)</f>
        <v>39.2</v>
      </c>
      <c r="G3" s="34">
        <v>45097.0</v>
      </c>
    </row>
    <row r="4">
      <c r="A4" s="34">
        <v>45127.0</v>
      </c>
      <c r="B4" s="4">
        <v>5.0</v>
      </c>
      <c r="C4" s="10">
        <f>IFERROR(if(ISBLANK(B3),,'Общее'!$B$12/B4),"")</f>
        <v>1.6</v>
      </c>
      <c r="E4" s="4" t="str">
        <f>'Общее'!A5</f>
        <v>Даша</v>
      </c>
      <c r="F4" s="10" t="str">
        <f t="array" ref="F4">ifna(if(G4&lt;='Общее'!$E$11, SUM(INDIRECT(ADDRESS(MATCH(G4,$A$1:$A$30),3)):INDIRECT(ADDRESS(MATCH('Общее'!$E$11,$A$1:$A$30),3))),0),)</f>
        <v/>
      </c>
      <c r="G4" s="34"/>
    </row>
    <row r="5">
      <c r="A5" s="34">
        <v>45158.0</v>
      </c>
      <c r="B5" s="4">
        <v>5.0</v>
      </c>
      <c r="C5" s="10">
        <f>IFERROR(if(ISBLANK(B4),,'Общее'!$B$12/B5),"")</f>
        <v>1.6</v>
      </c>
      <c r="E5" s="4" t="s">
        <v>29</v>
      </c>
      <c r="F5" s="10">
        <f t="array" ref="F5">ifna(if(G5&lt;='Общее'!$E$11, SUM(INDIRECT(ADDRESS(MATCH(G5,$A$1:$A$30),3)):INDIRECT(ADDRESS(MATCH('Общее'!$E$11,$A$1:$A$30),3))),0),)</f>
        <v>4</v>
      </c>
      <c r="G5" s="34">
        <v>45858.0</v>
      </c>
    </row>
    <row r="6">
      <c r="A6" s="34">
        <v>45189.0</v>
      </c>
      <c r="B6" s="4">
        <v>5.0</v>
      </c>
      <c r="C6" s="10">
        <f>IFERROR(if(ISBLANK(B5),,'Общее'!$B$12/B6),"")</f>
        <v>1.6</v>
      </c>
      <c r="E6" s="4" t="str">
        <f>'Общее'!A7</f>
        <v>Даня</v>
      </c>
      <c r="F6" s="10">
        <f t="array" ref="F6">ifna(if(G6&lt;='Общее'!$E$11, SUM(INDIRECT(ADDRESS(MATCH(G6,$A$1:$A$30),3)):INDIRECT(ADDRESS(MATCH('Общее'!$E$11,$A$1:$A$30),3))),0),)</f>
        <v>28</v>
      </c>
      <c r="G6" s="34">
        <v>45311.0</v>
      </c>
    </row>
    <row r="7">
      <c r="A7" s="34">
        <v>45219.0</v>
      </c>
      <c r="B7" s="4">
        <v>5.0</v>
      </c>
      <c r="C7" s="10">
        <f>IFERROR(if(ISBLANK(B6),,'Общее'!$B$12/B7),"")</f>
        <v>1.6</v>
      </c>
    </row>
    <row r="8">
      <c r="A8" s="34">
        <v>45250.0</v>
      </c>
      <c r="B8" s="4">
        <v>5.0</v>
      </c>
      <c r="C8" s="10">
        <f>IFERROR(if(ISBLANK(B7),,'Общее'!$B$12/B8),"")</f>
        <v>1.6</v>
      </c>
    </row>
    <row r="9">
      <c r="A9" s="34">
        <v>45280.0</v>
      </c>
      <c r="B9" s="4">
        <v>5.0</v>
      </c>
      <c r="C9" s="10">
        <f>IFERROR(if(ISBLANK(B8),,'Общее'!$B$12/B9),"")</f>
        <v>1.6</v>
      </c>
    </row>
    <row r="10">
      <c r="A10" s="34">
        <v>45311.0</v>
      </c>
      <c r="B10" s="4">
        <v>6.0</v>
      </c>
      <c r="C10" s="10">
        <f>IFERROR(if(ISBLANK(B9),,'Общее'!$B$12/B10),"")</f>
        <v>1.333333333</v>
      </c>
    </row>
    <row r="11">
      <c r="A11" s="34">
        <v>45342.0</v>
      </c>
      <c r="B11" s="4">
        <v>6.0</v>
      </c>
      <c r="C11" s="10">
        <f>IFERROR(if(ISBLANK(B10),,'Общее'!$B$12/B11),"")</f>
        <v>1.333333333</v>
      </c>
    </row>
    <row r="12">
      <c r="A12" s="34">
        <v>45371.0</v>
      </c>
      <c r="B12" s="4">
        <v>6.0</v>
      </c>
      <c r="C12" s="10">
        <f>IFERROR(if(ISBLANK(B11),,'Общее'!$B$12/B12),"")</f>
        <v>1.333333333</v>
      </c>
    </row>
    <row r="13">
      <c r="A13" s="34">
        <v>45402.0</v>
      </c>
      <c r="B13" s="4">
        <v>6.0</v>
      </c>
      <c r="C13" s="10">
        <f>IFERROR(if(ISBLANK(B12),,'Общее'!$B$12/B13),"")</f>
        <v>1.333333333</v>
      </c>
    </row>
    <row r="14">
      <c r="A14" s="34">
        <v>45432.0</v>
      </c>
      <c r="B14" s="4">
        <v>6.0</v>
      </c>
      <c r="C14" s="10">
        <f>IFERROR(if(ISBLANK(B13),,'Общее'!$B$12/B14),"")</f>
        <v>1.333333333</v>
      </c>
      <c r="D14" s="36"/>
    </row>
    <row r="15">
      <c r="A15" s="34">
        <v>45463.0</v>
      </c>
      <c r="B15" s="4">
        <v>6.0</v>
      </c>
      <c r="C15" s="10">
        <f>IFERROR(if(ISBLANK(B14),,'Общее'!$B$12/B15),"")</f>
        <v>1.333333333</v>
      </c>
      <c r="D15" s="37"/>
    </row>
    <row r="16">
      <c r="A16" s="34">
        <v>45493.0</v>
      </c>
      <c r="B16" s="4">
        <v>6.0</v>
      </c>
      <c r="C16" s="10">
        <f>IFERROR(if(ISBLANK(B15),,'Общее'!$B$12/B16),"")</f>
        <v>1.333333333</v>
      </c>
    </row>
    <row r="17">
      <c r="A17" s="34">
        <v>45524.0</v>
      </c>
      <c r="B17" s="4">
        <v>6.0</v>
      </c>
      <c r="C17" s="10">
        <f>IFERROR(if(ISBLANK(B16),,'Общее'!$B$12/B17),"")</f>
        <v>1.333333333</v>
      </c>
    </row>
    <row r="18">
      <c r="A18" s="34">
        <v>45555.0</v>
      </c>
      <c r="B18" s="4">
        <v>6.0</v>
      </c>
      <c r="C18" s="10">
        <f>IFERROR(if(ISBLANK(B17),,'Общее'!$B$12/B18),"")</f>
        <v>1.333333333</v>
      </c>
    </row>
    <row r="19">
      <c r="A19" s="34">
        <v>45585.0</v>
      </c>
      <c r="B19" s="4">
        <v>6.0</v>
      </c>
      <c r="C19" s="10">
        <f>IFERROR(if(ISBLANK(B18),,'Общее'!$B$12/B19),"")</f>
        <v>1.333333333</v>
      </c>
    </row>
    <row r="20">
      <c r="A20" s="34">
        <v>45616.0</v>
      </c>
      <c r="B20" s="4">
        <v>6.0</v>
      </c>
      <c r="C20" s="10">
        <f>IFERROR(if(ISBLANK(B19),,'Общее'!$B$12/B20),"")</f>
        <v>1.333333333</v>
      </c>
    </row>
    <row r="21">
      <c r="A21" s="34">
        <v>45646.0</v>
      </c>
      <c r="B21" s="4">
        <v>6.0</v>
      </c>
      <c r="C21" s="10">
        <f>IFERROR(if(ISBLANK(B20),,'Общее'!$B$12/B21),"")</f>
        <v>1.333333333</v>
      </c>
    </row>
    <row r="22">
      <c r="A22" s="34">
        <v>45677.0</v>
      </c>
      <c r="B22" s="4">
        <v>6.0</v>
      </c>
      <c r="C22" s="10">
        <f>IFERROR(if(ISBLANK(B21),,'Общее'!$B$12/B22),"")</f>
        <v>1.333333333</v>
      </c>
    </row>
    <row r="23">
      <c r="A23" s="34">
        <v>45708.0</v>
      </c>
      <c r="B23" s="4">
        <v>6.0</v>
      </c>
      <c r="C23" s="10">
        <f>IFERROR(if(ISBLANK(B22),,'Общее'!$B$12/B23),"")</f>
        <v>1.333333333</v>
      </c>
    </row>
    <row r="24">
      <c r="A24" s="34">
        <v>45736.0</v>
      </c>
      <c r="B24" s="4">
        <v>6.0</v>
      </c>
      <c r="C24" s="10">
        <f>IFERROR(if(ISBLANK(B23),,'Общее'!$B$12/B24),"")</f>
        <v>1.333333333</v>
      </c>
    </row>
    <row r="25">
      <c r="A25" s="34">
        <v>45767.0</v>
      </c>
      <c r="B25" s="4">
        <v>6.0</v>
      </c>
      <c r="C25" s="10">
        <f>IFERROR(if(ISBLANK(B24),,'Общее'!$B$12/B25),"")</f>
        <v>1.333333333</v>
      </c>
    </row>
    <row r="26">
      <c r="A26" s="34">
        <v>45797.0</v>
      </c>
      <c r="B26" s="4">
        <v>6.0</v>
      </c>
      <c r="C26" s="10">
        <f>IFERROR(if(ISBLANK(B25),,'Общее'!$B$12/B26),"")</f>
        <v>1.333333333</v>
      </c>
    </row>
    <row r="27">
      <c r="A27" s="34">
        <v>45828.0</v>
      </c>
      <c r="B27" s="4">
        <v>6.0</v>
      </c>
      <c r="C27" s="10">
        <f>IFERROR(if(ISBLANK(B26),,'Общее'!$B$12/B27),"")</f>
        <v>1.333333333</v>
      </c>
    </row>
    <row r="28">
      <c r="A28" s="34">
        <v>45858.0</v>
      </c>
      <c r="B28" s="4">
        <v>6.0</v>
      </c>
      <c r="C28" s="10">
        <f>IFERROR(if(ISBLANK(B27),,'Общее'!$B$12/B28),"")</f>
        <v>1.333333333</v>
      </c>
    </row>
    <row r="29">
      <c r="A29" s="34">
        <v>45889.0</v>
      </c>
      <c r="B29" s="4">
        <v>6.0</v>
      </c>
      <c r="C29" s="10">
        <f>IFERROR(if(ISBLANK(B28),,'Общее'!$B$12/B29),"")</f>
        <v>1.333333333</v>
      </c>
    </row>
    <row r="30">
      <c r="A30" s="34">
        <v>45920.0</v>
      </c>
      <c r="B30" s="4">
        <v>6.0</v>
      </c>
      <c r="C30" s="10">
        <f>IFERROR(if(ISBLANK(B29),,'Общее'!$B$12/B30),"")</f>
        <v>1.333333333</v>
      </c>
    </row>
    <row r="31">
      <c r="A31" s="34">
        <v>45950.0</v>
      </c>
      <c r="B31" s="4">
        <v>6.0</v>
      </c>
      <c r="C31" s="10">
        <f>IFERROR(if(ISBLANK(B30),,'Общее'!$B$12/B31),"")</f>
        <v>1.333333333</v>
      </c>
    </row>
    <row r="32">
      <c r="A32" s="34">
        <v>45981.0</v>
      </c>
      <c r="B32" s="4">
        <v>6.0</v>
      </c>
      <c r="C32" s="10">
        <f>IFERROR(if(ISBLANK(B31),,'Общее'!$B$12/B32),"")</f>
        <v>1.333333333</v>
      </c>
    </row>
    <row r="33">
      <c r="A33" s="34">
        <v>46011.0</v>
      </c>
      <c r="B33" s="4">
        <v>6.0</v>
      </c>
      <c r="C33" s="10">
        <f>IFERROR(if(ISBLANK(B32),,'Общее'!$B$12/B33),"")</f>
        <v>1.333333333</v>
      </c>
    </row>
    <row r="34">
      <c r="A34" s="34">
        <v>46042.0</v>
      </c>
      <c r="B34" s="4">
        <v>6.0</v>
      </c>
      <c r="C34" s="10">
        <f>IFERROR(if(ISBLANK(B33),,'Общее'!$B$12/B34),"")</f>
        <v>1.333333333</v>
      </c>
    </row>
    <row r="35">
      <c r="A35" s="34">
        <v>46073.0</v>
      </c>
      <c r="B35" s="4">
        <v>6.0</v>
      </c>
      <c r="C35" s="10">
        <f>IFERROR(if(ISBLANK(B34),,'Общее'!$B$12/B35),"")</f>
        <v>1.333333333</v>
      </c>
    </row>
    <row r="36">
      <c r="A36" s="34">
        <v>46101.0</v>
      </c>
      <c r="B36" s="4">
        <v>6.0</v>
      </c>
      <c r="C36" s="10">
        <f>IFERROR(if(ISBLANK(B35),,'Общее'!$B$12/B36),"")</f>
        <v>1.333333333</v>
      </c>
    </row>
    <row r="37">
      <c r="A37" s="34">
        <v>46132.0</v>
      </c>
      <c r="B37" s="4">
        <v>6.0</v>
      </c>
      <c r="C37" s="10">
        <f>IFERROR(if(ISBLANK(B36),,'Общее'!$B$12/B37),"")</f>
        <v>1.333333333</v>
      </c>
    </row>
    <row r="38">
      <c r="A38" s="34">
        <v>46162.0</v>
      </c>
      <c r="B38" s="4">
        <v>6.0</v>
      </c>
      <c r="C38" s="10">
        <f>IFERROR(if(ISBLANK(B37),,'Общее'!$B$12/B38),"")</f>
        <v>1.333333333</v>
      </c>
    </row>
    <row r="39">
      <c r="A39" s="34">
        <v>46193.0</v>
      </c>
      <c r="B39" s="4">
        <v>6.0</v>
      </c>
      <c r="C39" s="10">
        <f>IFERROR(if(ISBLANK(B38),,'Общее'!$B$12/B39),"")</f>
        <v>1.333333333</v>
      </c>
    </row>
    <row r="40">
      <c r="A40" s="34">
        <v>46223.0</v>
      </c>
      <c r="B40" s="4">
        <v>6.0</v>
      </c>
      <c r="C40" s="10">
        <f>IFERROR(if(ISBLANK(B39),,'Общее'!$B$12/B40),"")</f>
        <v>1.333333333</v>
      </c>
    </row>
    <row r="41">
      <c r="A41" s="34">
        <v>46254.0</v>
      </c>
      <c r="B41" s="4">
        <v>6.0</v>
      </c>
      <c r="C41" s="10">
        <f>IFERROR(if(ISBLANK(B40),,'Общее'!$B$12/B41),"")</f>
        <v>1.333333333</v>
      </c>
    </row>
    <row r="42">
      <c r="A42" s="34">
        <v>46285.0</v>
      </c>
      <c r="B42" s="4">
        <v>6.0</v>
      </c>
      <c r="C42" s="10">
        <f>IFERROR(if(ISBLANK(B41),,'Общее'!$B$12/B42),"")</f>
        <v>1.333333333</v>
      </c>
    </row>
    <row r="43">
      <c r="A43" s="34">
        <v>46315.0</v>
      </c>
      <c r="B43" s="4">
        <v>6.0</v>
      </c>
      <c r="C43" s="10">
        <f>IFERROR(if(ISBLANK(B42),,'Общее'!$B$12/B43),"")</f>
        <v>1.333333333</v>
      </c>
    </row>
    <row r="44">
      <c r="A44" s="34">
        <v>46346.0</v>
      </c>
      <c r="B44" s="4">
        <v>6.0</v>
      </c>
      <c r="C44" s="10">
        <f>IFERROR(if(ISBLANK(B43),,'Общее'!$B$12/B44),"")</f>
        <v>1.333333333</v>
      </c>
    </row>
    <row r="45">
      <c r="A45" s="34">
        <v>46376.0</v>
      </c>
      <c r="B45" s="4">
        <v>6.0</v>
      </c>
      <c r="C45" s="10">
        <f>IFERROR(if(ISBLANK(B44),,'Общее'!$B$12/B45),"")</f>
        <v>1.333333333</v>
      </c>
    </row>
    <row r="46">
      <c r="A46" s="34">
        <v>46407.0</v>
      </c>
      <c r="B46" s="4">
        <v>6.0</v>
      </c>
      <c r="C46" s="10">
        <f>IFERROR(if(ISBLANK(B45),,'Общее'!$B$12/B46),"")</f>
        <v>1.333333333</v>
      </c>
    </row>
    <row r="47">
      <c r="A47" s="34">
        <v>46438.0</v>
      </c>
      <c r="B47" s="4">
        <v>6.0</v>
      </c>
      <c r="C47" s="10">
        <f>IFERROR(if(ISBLANK(B46),,'Общее'!$B$12/B47),"")</f>
        <v>1.333333333</v>
      </c>
    </row>
    <row r="48">
      <c r="A48" s="34">
        <v>46466.0</v>
      </c>
      <c r="B48" s="4">
        <v>6.0</v>
      </c>
      <c r="C48" s="10">
        <f>IFERROR(if(ISBLANK(B47),,'Общее'!$B$12/B48),"")</f>
        <v>1.333333333</v>
      </c>
    </row>
    <row r="49">
      <c r="A49" s="34">
        <v>46497.0</v>
      </c>
      <c r="B49" s="4">
        <v>6.0</v>
      </c>
      <c r="C49" s="10">
        <f>IFERROR(if(ISBLANK(B48),,'Общее'!$B$12/B49),"")</f>
        <v>1.333333333</v>
      </c>
    </row>
    <row r="50">
      <c r="A50" s="34">
        <v>46527.0</v>
      </c>
      <c r="B50" s="4">
        <v>6.0</v>
      </c>
      <c r="C50" s="10">
        <f>IFERROR(if(ISBLANK(B49),,'Общее'!$B$12/B50),"")</f>
        <v>1.333333333</v>
      </c>
    </row>
    <row r="51">
      <c r="A51" s="34">
        <v>46558.0</v>
      </c>
      <c r="B51" s="4">
        <v>6.0</v>
      </c>
      <c r="C51" s="10">
        <f>IFERROR(if(ISBLANK(B50),,'Общее'!$B$12/B51),"")</f>
        <v>1.333333333</v>
      </c>
    </row>
    <row r="52">
      <c r="A52" s="34">
        <v>46588.0</v>
      </c>
      <c r="B52" s="4">
        <v>6.0</v>
      </c>
      <c r="C52" s="10">
        <f>IFERROR(if(ISBLANK(B51),,'Общее'!$B$12/B52),"")</f>
        <v>1.333333333</v>
      </c>
    </row>
    <row r="53">
      <c r="A53" s="34">
        <v>46619.0</v>
      </c>
      <c r="B53" s="4">
        <v>6.0</v>
      </c>
      <c r="C53" s="10">
        <f>IFERROR(if(ISBLANK(B52),,'Общее'!$B$12/B53),"")</f>
        <v>1.333333333</v>
      </c>
    </row>
    <row r="54">
      <c r="A54" s="34">
        <v>46650.0</v>
      </c>
      <c r="B54" s="4">
        <v>6.0</v>
      </c>
      <c r="C54" s="10">
        <f>IFERROR(if(ISBLANK(B53),,'Общее'!$B$12/B54),"")</f>
        <v>1.333333333</v>
      </c>
    </row>
    <row r="55">
      <c r="A55" s="34">
        <v>46680.0</v>
      </c>
      <c r="B55" s="4">
        <v>6.0</v>
      </c>
      <c r="C55" s="10">
        <f>IFERROR(if(ISBLANK(B54),,'Общее'!$B$12/B55),"")</f>
        <v>1.333333333</v>
      </c>
    </row>
    <row r="56">
      <c r="A56" s="34">
        <v>46711.0</v>
      </c>
      <c r="B56" s="4">
        <v>6.0</v>
      </c>
      <c r="C56" s="10">
        <f>IFERROR(if(ISBLANK(B55),,'Общее'!$B$12/B56),"")</f>
        <v>1.333333333</v>
      </c>
    </row>
    <row r="57">
      <c r="A57" s="34">
        <v>46741.0</v>
      </c>
      <c r="B57" s="4">
        <v>6.0</v>
      </c>
      <c r="C57" s="10">
        <f>IFERROR(if(ISBLANK(B56),,'Общее'!$B$12/B57),"")</f>
        <v>1.333333333</v>
      </c>
    </row>
    <row r="58">
      <c r="A58" s="34">
        <v>46772.0</v>
      </c>
      <c r="B58" s="4">
        <v>6.0</v>
      </c>
      <c r="C58" s="10">
        <f>IFERROR(if(ISBLANK(B57),,'Общее'!$B$12/B58),"")</f>
        <v>1.333333333</v>
      </c>
    </row>
    <row r="59">
      <c r="A59" s="34">
        <v>46803.0</v>
      </c>
      <c r="B59" s="4">
        <v>6.0</v>
      </c>
      <c r="C59" s="10">
        <f>IFERROR(if(ISBLANK(B58),,'Общее'!$B$12/B59),"")</f>
        <v>1.333333333</v>
      </c>
    </row>
    <row r="60">
      <c r="A60" s="34">
        <v>46832.0</v>
      </c>
      <c r="B60" s="4">
        <v>6.0</v>
      </c>
      <c r="C60" s="10">
        <f>IFERROR(if(ISBLANK(B59),,'Общее'!$B$12/B60),"")</f>
        <v>1.333333333</v>
      </c>
    </row>
    <row r="61">
      <c r="A61" s="34">
        <v>46863.0</v>
      </c>
      <c r="B61" s="4">
        <v>6.0</v>
      </c>
      <c r="C61" s="10">
        <f>IFERROR(if(ISBLANK(B60),,'Общее'!$B$12/B61),"")</f>
        <v>1.333333333</v>
      </c>
    </row>
    <row r="62">
      <c r="A62" s="34">
        <v>46893.0</v>
      </c>
      <c r="B62" s="4">
        <v>6.0</v>
      </c>
      <c r="C62" s="10">
        <f>IFERROR(if(ISBLANK(B61),,'Общее'!$B$12/B62),"")</f>
        <v>1.333333333</v>
      </c>
    </row>
    <row r="63">
      <c r="A63" s="34">
        <v>46924.0</v>
      </c>
      <c r="B63" s="4">
        <v>6.0</v>
      </c>
      <c r="C63" s="10">
        <f>IFERROR(if(ISBLANK(B62),,'Общее'!$B$12/B63),"")</f>
        <v>1.333333333</v>
      </c>
    </row>
    <row r="64">
      <c r="A64" s="34">
        <v>46954.0</v>
      </c>
      <c r="B64" s="4">
        <v>6.0</v>
      </c>
      <c r="C64" s="10">
        <f>IFERROR(if(ISBLANK(B63),,'Общее'!$B$12/B64),"")</f>
        <v>1.333333333</v>
      </c>
    </row>
    <row r="65">
      <c r="A65" s="34">
        <v>46985.0</v>
      </c>
      <c r="B65" s="4">
        <v>6.0</v>
      </c>
      <c r="C65" s="10">
        <f>IFERROR(if(ISBLANK(B64),,'Общее'!$B$12/B65),"")</f>
        <v>1.333333333</v>
      </c>
    </row>
    <row r="66">
      <c r="A66" s="34">
        <v>47016.0</v>
      </c>
      <c r="B66" s="4">
        <v>6.0</v>
      </c>
      <c r="C66" s="10">
        <f>IFERROR(if(ISBLANK(B65),,'Общее'!$B$12/B66),"")</f>
        <v>1.333333333</v>
      </c>
    </row>
    <row r="67">
      <c r="A67" s="34">
        <v>47046.0</v>
      </c>
      <c r="B67" s="4">
        <v>6.0</v>
      </c>
      <c r="C67" s="10">
        <f>IFERROR(if(ISBLANK(B66),,'Общее'!$B$12/B67),"")</f>
        <v>1.333333333</v>
      </c>
    </row>
    <row r="68">
      <c r="A68" s="34">
        <v>47077.0</v>
      </c>
      <c r="B68" s="4">
        <v>6.0</v>
      </c>
      <c r="C68" s="10">
        <f>IFERROR(if(ISBLANK(B67),,'Общее'!$B$12/B68),"")</f>
        <v>1.333333333</v>
      </c>
    </row>
    <row r="69">
      <c r="A69" s="34">
        <v>47107.0</v>
      </c>
      <c r="B69" s="4">
        <v>6.0</v>
      </c>
      <c r="C69" s="10">
        <f>IFERROR(if(ISBLANK(B68),,'Общее'!$B$12/B69),"")</f>
        <v>1.333333333</v>
      </c>
    </row>
    <row r="70">
      <c r="A70" s="34">
        <v>47138.0</v>
      </c>
      <c r="B70" s="4">
        <v>6.0</v>
      </c>
      <c r="C70" s="10">
        <f>IFERROR(if(ISBLANK(B69),,'Общее'!$B$12/B70),"")</f>
        <v>1.333333333</v>
      </c>
    </row>
    <row r="71">
      <c r="A71" s="34">
        <v>47169.0</v>
      </c>
      <c r="B71" s="4">
        <v>6.0</v>
      </c>
      <c r="C71" s="10">
        <f>IFERROR(if(ISBLANK(B70),,'Общее'!$B$12/B71),"")</f>
        <v>1.333333333</v>
      </c>
    </row>
    <row r="72">
      <c r="A72" s="34">
        <v>47197.0</v>
      </c>
      <c r="B72" s="4">
        <v>6.0</v>
      </c>
      <c r="C72" s="10">
        <f>IFERROR(if(ISBLANK(B71),,'Общее'!$B$12/B72),"")</f>
        <v>1.333333333</v>
      </c>
    </row>
    <row r="73">
      <c r="A73" s="34">
        <v>47228.0</v>
      </c>
      <c r="B73" s="4">
        <v>6.0</v>
      </c>
      <c r="C73" s="10">
        <f>IFERROR(if(ISBLANK(B72),,'Общее'!$B$12/B73),"")</f>
        <v>1.333333333</v>
      </c>
    </row>
    <row r="74">
      <c r="A74" s="34">
        <v>47258.0</v>
      </c>
      <c r="B74" s="4">
        <v>6.0</v>
      </c>
      <c r="C74" s="10">
        <f>IFERROR(if(ISBLANK(B73),,'Общее'!$B$12/B74),"")</f>
        <v>1.333333333</v>
      </c>
    </row>
    <row r="75">
      <c r="A75" s="34">
        <v>47289.0</v>
      </c>
      <c r="B75" s="4">
        <v>6.0</v>
      </c>
      <c r="C75" s="10">
        <f>IFERROR(if(ISBLANK(B74),,'Общее'!$B$12/B75),"")</f>
        <v>1.333333333</v>
      </c>
    </row>
    <row r="76">
      <c r="A76" s="34">
        <v>47319.0</v>
      </c>
      <c r="B76" s="4">
        <v>6.0</v>
      </c>
      <c r="C76" s="10">
        <f>IFERROR(if(ISBLANK(B75),,'Общее'!$B$12/B76),"")</f>
        <v>1.333333333</v>
      </c>
    </row>
    <row r="77">
      <c r="A77" s="34">
        <v>47350.0</v>
      </c>
      <c r="B77" s="4">
        <v>6.0</v>
      </c>
      <c r="C77" s="10">
        <f>IFERROR(if(ISBLANK(B76),,'Общее'!$B$12/B77),"")</f>
        <v>1.333333333</v>
      </c>
    </row>
    <row r="78">
      <c r="A78" s="34">
        <v>47381.0</v>
      </c>
      <c r="B78" s="4">
        <v>6.0</v>
      </c>
      <c r="C78" s="10">
        <f>IFERROR(if(ISBLANK(B77),,'Общее'!$B$12/B78),"")</f>
        <v>1.333333333</v>
      </c>
    </row>
    <row r="79">
      <c r="A79" s="34">
        <v>47411.0</v>
      </c>
      <c r="B79" s="4">
        <v>6.0</v>
      </c>
      <c r="C79" s="10">
        <f>IFERROR(if(ISBLANK(B78),,'Общее'!$B$12/B79),"")</f>
        <v>1.333333333</v>
      </c>
    </row>
    <row r="80">
      <c r="A80" s="34">
        <v>47442.0</v>
      </c>
      <c r="B80" s="4">
        <v>6.0</v>
      </c>
      <c r="C80" s="10">
        <f>IFERROR(if(ISBLANK(B79),,'Общее'!$B$12/B80),"")</f>
        <v>1.333333333</v>
      </c>
    </row>
    <row r="81">
      <c r="A81" s="34">
        <v>47472.0</v>
      </c>
      <c r="B81" s="4">
        <v>6.0</v>
      </c>
      <c r="C81" s="10">
        <f>IFERROR(if(ISBLANK(B80),,'Общее'!$B$12/B81),"")</f>
        <v>1.333333333</v>
      </c>
    </row>
    <row r="82">
      <c r="A82" s="34">
        <v>47503.0</v>
      </c>
      <c r="B82" s="4">
        <v>6.0</v>
      </c>
      <c r="C82" s="10">
        <f>IFERROR(if(ISBLANK(B81),,'Общее'!$B$12/B82),"")</f>
        <v>1.333333333</v>
      </c>
    </row>
    <row r="83">
      <c r="A83" s="34">
        <v>47534.0</v>
      </c>
      <c r="B83" s="4">
        <v>6.0</v>
      </c>
      <c r="C83" s="10">
        <f>IFERROR(if(ISBLANK(B82),,'Общее'!$B$12/B83),"")</f>
        <v>1.333333333</v>
      </c>
    </row>
    <row r="84">
      <c r="A84" s="34">
        <v>47562.0</v>
      </c>
      <c r="B84" s="4">
        <v>6.0</v>
      </c>
      <c r="C84" s="10">
        <f>IFERROR(if(ISBLANK(B83),,'Общее'!$B$12/B84),"")</f>
        <v>1.333333333</v>
      </c>
    </row>
    <row r="85">
      <c r="A85" s="34">
        <v>47593.0</v>
      </c>
      <c r="B85" s="4">
        <v>6.0</v>
      </c>
      <c r="C85" s="10">
        <f>IFERROR(if(ISBLANK(B84),,'Общее'!$B$12/B85),"")</f>
        <v>1.333333333</v>
      </c>
    </row>
    <row r="86">
      <c r="A86" s="34">
        <v>47623.0</v>
      </c>
      <c r="B86" s="4">
        <v>6.0</v>
      </c>
      <c r="C86" s="10">
        <f>IFERROR(if(ISBLANK(B85),,'Общее'!$B$12/B86),"")</f>
        <v>1.333333333</v>
      </c>
    </row>
    <row r="87">
      <c r="A87" s="34">
        <v>47654.0</v>
      </c>
      <c r="B87" s="4">
        <v>6.0</v>
      </c>
      <c r="C87" s="10">
        <f>IFERROR(if(ISBLANK(B86),,'Общее'!$B$12/B87),"")</f>
        <v>1.333333333</v>
      </c>
    </row>
    <row r="88">
      <c r="A88" s="34">
        <v>47684.0</v>
      </c>
      <c r="B88" s="4">
        <v>6.0</v>
      </c>
      <c r="C88" s="10">
        <f>IFERROR(if(ISBLANK(B87),,'Общее'!$B$12/B88),"")</f>
        <v>1.333333333</v>
      </c>
    </row>
    <row r="89">
      <c r="A89" s="34">
        <v>47715.0</v>
      </c>
      <c r="B89" s="4">
        <v>6.0</v>
      </c>
      <c r="C89" s="10">
        <f>IFERROR(if(ISBLANK(B88),,'Общее'!$B$12/B89),"")</f>
        <v>1.333333333</v>
      </c>
    </row>
    <row r="90">
      <c r="A90" s="34">
        <v>47746.0</v>
      </c>
      <c r="B90" s="4">
        <v>6.0</v>
      </c>
      <c r="C90" s="10">
        <f>IFERROR(if(ISBLANK(B89),,'Общее'!$B$12/B90),"")</f>
        <v>1.333333333</v>
      </c>
    </row>
    <row r="91">
      <c r="A91" s="34">
        <v>47776.0</v>
      </c>
      <c r="B91" s="4">
        <v>6.0</v>
      </c>
      <c r="C91" s="10">
        <f>IFERROR(if(ISBLANK(B90),,'Общее'!$B$12/B91),"")</f>
        <v>1.333333333</v>
      </c>
    </row>
    <row r="92">
      <c r="A92" s="34">
        <v>47807.0</v>
      </c>
      <c r="B92" s="4">
        <v>6.0</v>
      </c>
      <c r="C92" s="10">
        <f>IFERROR(if(ISBLANK(B91),,'Общее'!$B$12/B92),"")</f>
        <v>1.333333333</v>
      </c>
    </row>
    <row r="93">
      <c r="A93" s="34">
        <v>47837.0</v>
      </c>
      <c r="B93" s="4">
        <v>6.0</v>
      </c>
      <c r="C93" s="10">
        <f>IFERROR(if(ISBLANK(B92),,'Общее'!$B$12/B93),"")</f>
        <v>1.333333333</v>
      </c>
    </row>
    <row r="94">
      <c r="A94" s="34">
        <v>47868.0</v>
      </c>
      <c r="B94" s="4">
        <v>6.0</v>
      </c>
      <c r="C94" s="10">
        <f>IFERROR(if(ISBLANK(B93),,'Общее'!$B$12/B94),"")</f>
        <v>1.333333333</v>
      </c>
    </row>
    <row r="95">
      <c r="A95" s="34">
        <v>47899.0</v>
      </c>
      <c r="B95" s="4">
        <v>6.0</v>
      </c>
      <c r="C95" s="10">
        <f>IFERROR(if(ISBLANK(B94),,'Общее'!$B$12/B95),"")</f>
        <v>1.333333333</v>
      </c>
    </row>
    <row r="96">
      <c r="A96" s="34">
        <v>47927.0</v>
      </c>
      <c r="B96" s="4">
        <v>6.0</v>
      </c>
      <c r="C96" s="10">
        <f>IFERROR(if(ISBLANK(B95),,'Общее'!$B$12/B96),"")</f>
        <v>1.333333333</v>
      </c>
    </row>
    <row r="97">
      <c r="A97" s="34">
        <v>47958.0</v>
      </c>
      <c r="B97" s="4">
        <v>6.0</v>
      </c>
      <c r="C97" s="10">
        <f>IFERROR(if(ISBLANK(B96),,'Общее'!$B$12/B97),"")</f>
        <v>1.333333333</v>
      </c>
    </row>
    <row r="98">
      <c r="A98" s="34">
        <v>47988.0</v>
      </c>
      <c r="B98" s="4">
        <v>6.0</v>
      </c>
      <c r="C98" s="10">
        <f>IFERROR(if(ISBLANK(B97),,'Общее'!$B$12/B98),"")</f>
        <v>1.333333333</v>
      </c>
    </row>
    <row r="99">
      <c r="A99" s="34">
        <v>48019.0</v>
      </c>
      <c r="B99" s="4">
        <v>6.0</v>
      </c>
      <c r="C99" s="10">
        <f>IFERROR(if(ISBLANK(B98),,'Общее'!$B$12/B99),"")</f>
        <v>1.333333333</v>
      </c>
    </row>
    <row r="100">
      <c r="A100" s="34">
        <v>48049.0</v>
      </c>
      <c r="B100" s="4">
        <v>6.0</v>
      </c>
      <c r="C100" s="10">
        <f>IFERROR(if(ISBLANK(B99),,'Общее'!$B$12/B100),"")</f>
        <v>1.333333333</v>
      </c>
    </row>
    <row r="101">
      <c r="A101" s="34">
        <v>48080.0</v>
      </c>
      <c r="B101" s="4">
        <v>6.0</v>
      </c>
      <c r="C101" s="10">
        <f>IFERROR(if(ISBLANK(B100),,'Общее'!$B$12/B101),"")</f>
        <v>1.333333333</v>
      </c>
    </row>
    <row r="102">
      <c r="A102" s="34">
        <v>48111.0</v>
      </c>
      <c r="B102" s="4">
        <v>6.0</v>
      </c>
      <c r="C102" s="10">
        <f>IFERROR(if(ISBLANK(B101),,'Общее'!$B$12/B102),"")</f>
        <v>1.333333333</v>
      </c>
    </row>
    <row r="103">
      <c r="A103" s="34">
        <v>48141.0</v>
      </c>
      <c r="B103" s="4">
        <v>6.0</v>
      </c>
      <c r="C103" s="10">
        <f>IFERROR(if(ISBLANK(B102),,'Общее'!$B$12/B103),"")</f>
        <v>1.333333333</v>
      </c>
    </row>
    <row r="104">
      <c r="A104" s="34">
        <v>48172.0</v>
      </c>
      <c r="B104" s="4">
        <v>6.0</v>
      </c>
      <c r="C104" s="10">
        <f>IFERROR(if(ISBLANK(B103),,'Общее'!$B$12/B104),"")</f>
        <v>1.333333333</v>
      </c>
    </row>
    <row r="105">
      <c r="A105" s="34">
        <v>48202.0</v>
      </c>
      <c r="B105" s="4">
        <v>6.0</v>
      </c>
      <c r="C105" s="10">
        <f>IFERROR(if(ISBLANK(B104),,'Общее'!$B$12/B105),"")</f>
        <v>1.333333333</v>
      </c>
    </row>
    <row r="106">
      <c r="A106" s="34">
        <v>48233.0</v>
      </c>
      <c r="B106" s="4">
        <v>6.0</v>
      </c>
      <c r="C106" s="10">
        <f>IFERROR(if(ISBLANK(B105),,'Общее'!$B$12/B106),"")</f>
        <v>1.333333333</v>
      </c>
    </row>
    <row r="107">
      <c r="A107" s="34">
        <v>48264.0</v>
      </c>
      <c r="B107" s="4">
        <v>6.0</v>
      </c>
      <c r="C107" s="10">
        <f>IFERROR(if(ISBLANK(B106),,'Общее'!$B$12/B107),"")</f>
        <v>1.333333333</v>
      </c>
    </row>
    <row r="108">
      <c r="A108" s="34">
        <v>48293.0</v>
      </c>
      <c r="B108" s="4">
        <v>6.0</v>
      </c>
      <c r="C108" s="10">
        <f>IFERROR(if(ISBLANK(B107),,'Общее'!$B$12/B108),"")</f>
        <v>1.333333333</v>
      </c>
    </row>
    <row r="109">
      <c r="A109" s="34">
        <v>48324.0</v>
      </c>
      <c r="B109" s="4">
        <v>6.0</v>
      </c>
      <c r="C109" s="10">
        <f>IFERROR(if(ISBLANK(B108),,'Общее'!$B$12/B109),"")</f>
        <v>1.333333333</v>
      </c>
    </row>
    <row r="110">
      <c r="A110" s="34">
        <v>48354.0</v>
      </c>
      <c r="B110" s="4">
        <v>6.0</v>
      </c>
      <c r="C110" s="10">
        <f>IFERROR(if(ISBLANK(B109),,'Общее'!$B$12/B110),"")</f>
        <v>1.333333333</v>
      </c>
    </row>
    <row r="111">
      <c r="A111" s="34">
        <v>48385.0</v>
      </c>
      <c r="B111" s="4">
        <v>6.0</v>
      </c>
      <c r="C111" s="10">
        <f>IFERROR(if(ISBLANK(B110),,'Общее'!$B$12/B111),"")</f>
        <v>1.333333333</v>
      </c>
    </row>
    <row r="112">
      <c r="A112" s="34">
        <v>48415.0</v>
      </c>
      <c r="B112" s="4">
        <v>6.0</v>
      </c>
      <c r="C112" s="10">
        <f>IFERROR(if(ISBLANK(B111),,'Общее'!$B$12/B112),"")</f>
        <v>1.333333333</v>
      </c>
    </row>
    <row r="113">
      <c r="A113" s="34">
        <v>48446.0</v>
      </c>
      <c r="B113" s="4">
        <v>6.0</v>
      </c>
      <c r="C113" s="10">
        <f>IFERROR(if(ISBLANK(B112),,'Общее'!$B$12/B113),"")</f>
        <v>1.333333333</v>
      </c>
    </row>
    <row r="114">
      <c r="A114" s="34">
        <v>48477.0</v>
      </c>
      <c r="B114" s="4">
        <v>6.0</v>
      </c>
      <c r="C114" s="10">
        <f>IFERROR(if(ISBLANK(B113),,'Общее'!$B$12/B114),"")</f>
        <v>1.333333333</v>
      </c>
    </row>
    <row r="115">
      <c r="A115" s="34">
        <v>48507.0</v>
      </c>
      <c r="B115" s="4">
        <v>6.0</v>
      </c>
      <c r="C115" s="10">
        <f>IFERROR(if(ISBLANK(B114),,'Общее'!$B$12/B115),"")</f>
        <v>1.333333333</v>
      </c>
    </row>
    <row r="116">
      <c r="A116" s="34">
        <v>48538.0</v>
      </c>
      <c r="B116" s="4">
        <v>6.0</v>
      </c>
      <c r="C116" s="10">
        <f>IFERROR(if(ISBLANK(B115),,'Общее'!$B$12/B116),"")</f>
        <v>1.333333333</v>
      </c>
    </row>
    <row r="117">
      <c r="A117" s="34">
        <v>48568.0</v>
      </c>
      <c r="B117" s="4">
        <v>6.0</v>
      </c>
      <c r="C117" s="10">
        <f>IFERROR(if(ISBLANK(B116),,'Общее'!$B$12/B117),"")</f>
        <v>1.333333333</v>
      </c>
    </row>
    <row r="118">
      <c r="A118" s="34">
        <v>48599.0</v>
      </c>
      <c r="B118" s="4">
        <v>6.0</v>
      </c>
      <c r="C118" s="10">
        <f>IFERROR(if(ISBLANK(B117),,'Общее'!$B$12/B118),"")</f>
        <v>1.333333333</v>
      </c>
    </row>
    <row r="119">
      <c r="A119" s="34">
        <v>48630.0</v>
      </c>
      <c r="B119" s="4">
        <v>6.0</v>
      </c>
      <c r="C119" s="10">
        <f>IFERROR(if(ISBLANK(B118),,'Общее'!$B$12/B119),"")</f>
        <v>1.333333333</v>
      </c>
    </row>
    <row r="120">
      <c r="A120" s="34">
        <v>48658.0</v>
      </c>
      <c r="B120" s="4">
        <v>6.0</v>
      </c>
      <c r="C120" s="10">
        <f>IFERROR(if(ISBLANK(B119),,'Общее'!$B$12/B120),"")</f>
        <v>1.333333333</v>
      </c>
    </row>
    <row r="121">
      <c r="A121" s="34">
        <v>48689.0</v>
      </c>
      <c r="B121" s="4">
        <v>6.0</v>
      </c>
      <c r="C121" s="10">
        <f>IFERROR(if(ISBLANK(B120),,'Общее'!$B$12/B121),"")</f>
        <v>1.333333333</v>
      </c>
    </row>
    <row r="122">
      <c r="A122" s="34">
        <v>48719.0</v>
      </c>
      <c r="B122" s="4">
        <v>6.0</v>
      </c>
      <c r="C122" s="10">
        <f>IFERROR(if(ISBLANK(B121),,'Общее'!$B$12/B122),"")</f>
        <v>1.333333333</v>
      </c>
    </row>
    <row r="123">
      <c r="A123" s="34">
        <v>48750.0</v>
      </c>
      <c r="B123" s="4">
        <v>6.0</v>
      </c>
      <c r="C123" s="10">
        <f>IFERROR(if(ISBLANK(B122),,'Общее'!$B$12/B123),"")</f>
        <v>1.333333333</v>
      </c>
    </row>
    <row r="124">
      <c r="A124" s="34">
        <v>48780.0</v>
      </c>
      <c r="B124" s="4">
        <v>6.0</v>
      </c>
      <c r="C124" s="10">
        <f>IFERROR(if(ISBLANK(B123),,'Общее'!$B$12/B124),"")</f>
        <v>1.333333333</v>
      </c>
    </row>
    <row r="125">
      <c r="A125" s="34">
        <v>48811.0</v>
      </c>
      <c r="B125" s="4">
        <v>6.0</v>
      </c>
      <c r="C125" s="10">
        <f>IFERROR(if(ISBLANK(B124),,'Общее'!$B$12/B125),"")</f>
        <v>1.333333333</v>
      </c>
    </row>
    <row r="126">
      <c r="A126" s="34">
        <v>48842.0</v>
      </c>
      <c r="B126" s="4">
        <v>6.0</v>
      </c>
      <c r="C126" s="10">
        <f>IFERROR(if(ISBLANK(B125),,'Общее'!$B$12/B126),"")</f>
        <v>1.333333333</v>
      </c>
    </row>
    <row r="127">
      <c r="A127" s="34">
        <v>48872.0</v>
      </c>
      <c r="B127" s="4">
        <v>6.0</v>
      </c>
      <c r="C127" s="10">
        <f>IFERROR(if(ISBLANK(B126),,'Общее'!$B$12/B127),"")</f>
        <v>1.333333333</v>
      </c>
    </row>
    <row r="128">
      <c r="A128" s="34">
        <v>48903.0</v>
      </c>
      <c r="B128" s="4">
        <v>6.0</v>
      </c>
      <c r="C128" s="10">
        <f>IFERROR(if(ISBLANK(B127),,'Общее'!$B$12/B128),"")</f>
        <v>1.333333333</v>
      </c>
    </row>
    <row r="129">
      <c r="A129" s="34">
        <v>48933.0</v>
      </c>
      <c r="B129" s="4">
        <v>6.0</v>
      </c>
      <c r="C129" s="10">
        <f>IFERROR(if(ISBLANK(B128),,'Общее'!$B$12/B129),"")</f>
        <v>1.333333333</v>
      </c>
    </row>
    <row r="130">
      <c r="A130" s="34">
        <v>48964.0</v>
      </c>
      <c r="B130" s="4">
        <v>6.0</v>
      </c>
      <c r="C130" s="10">
        <f>IFERROR(if(ISBLANK(B129),,'Общее'!$B$12/B130),"")</f>
        <v>1.333333333</v>
      </c>
    </row>
    <row r="131">
      <c r="A131" s="34">
        <v>48995.0</v>
      </c>
      <c r="B131" s="4">
        <v>6.0</v>
      </c>
      <c r="C131" s="10">
        <f>IFERROR(if(ISBLANK(B130),,'Общее'!$B$12/B131),"")</f>
        <v>1.333333333</v>
      </c>
    </row>
    <row r="132">
      <c r="A132" s="34">
        <v>49023.0</v>
      </c>
      <c r="B132" s="4">
        <v>6.0</v>
      </c>
      <c r="C132" s="10">
        <f>IFERROR(if(ISBLANK(B131),,'Общее'!$B$12/B132),"")</f>
        <v>1.333333333</v>
      </c>
    </row>
    <row r="133">
      <c r="A133" s="34">
        <v>49054.0</v>
      </c>
      <c r="B133" s="4">
        <v>6.0</v>
      </c>
      <c r="C133" s="10">
        <f>IFERROR(if(ISBLANK(B132),,'Общее'!$B$12/B133),"")</f>
        <v>1.333333333</v>
      </c>
    </row>
    <row r="134">
      <c r="A134" s="34">
        <v>49084.0</v>
      </c>
      <c r="B134" s="4">
        <v>6.0</v>
      </c>
      <c r="C134" s="10">
        <f>IFERROR(if(ISBLANK(B133),,'Общее'!$B$12/B134),"")</f>
        <v>1.333333333</v>
      </c>
    </row>
    <row r="135">
      <c r="A135" s="34">
        <v>49115.0</v>
      </c>
      <c r="B135" s="4">
        <v>6.0</v>
      </c>
      <c r="C135" s="10">
        <f>IFERROR(if(ISBLANK(B134),,'Общее'!$B$12/B135),"")</f>
        <v>1.333333333</v>
      </c>
    </row>
    <row r="136">
      <c r="A136" s="34">
        <v>49145.0</v>
      </c>
      <c r="B136" s="4">
        <v>6.0</v>
      </c>
      <c r="C136" s="10">
        <f>IFERROR(if(ISBLANK(B135),,'Общее'!$B$12/B136),"")</f>
        <v>1.333333333</v>
      </c>
    </row>
    <row r="137">
      <c r="A137" s="34">
        <v>49176.0</v>
      </c>
      <c r="B137" s="4">
        <v>6.0</v>
      </c>
      <c r="C137" s="10">
        <f>IFERROR(if(ISBLANK(B136),,'Общее'!$B$12/B137),"")</f>
        <v>1.333333333</v>
      </c>
    </row>
    <row r="138">
      <c r="A138" s="34">
        <v>49207.0</v>
      </c>
      <c r="B138" s="4">
        <v>6.0</v>
      </c>
      <c r="C138" s="10">
        <f>IFERROR(if(ISBLANK(B137),,'Общее'!$B$12/B138),"")</f>
        <v>1.333333333</v>
      </c>
    </row>
    <row r="139">
      <c r="A139" s="34">
        <v>49237.0</v>
      </c>
      <c r="B139" s="4">
        <v>6.0</v>
      </c>
      <c r="C139" s="10">
        <f>IFERROR(if(ISBLANK(B138),,'Общее'!$B$12/B139),"")</f>
        <v>1.333333333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/>
      <c r="B1" s="38" t="str">
        <f>'Общее'!A3</f>
        <v>Гала</v>
      </c>
      <c r="C1" s="39"/>
      <c r="D1" s="20" t="str">
        <f>'Общее'!A4</f>
        <v>Семен</v>
      </c>
      <c r="E1" s="40"/>
      <c r="F1" s="38" t="str">
        <f>'Общее'!A5</f>
        <v>Даша</v>
      </c>
      <c r="G1" s="39"/>
      <c r="H1" s="20" t="s">
        <v>29</v>
      </c>
      <c r="I1" s="40"/>
      <c r="J1" s="41" t="str">
        <f>'Общее'!A7</f>
        <v>Даня</v>
      </c>
      <c r="K1" s="39"/>
    </row>
    <row r="2">
      <c r="A2" s="42" t="s">
        <v>30</v>
      </c>
      <c r="B2" s="43">
        <f>SUM(B3:B350)</f>
        <v>9.333333333</v>
      </c>
      <c r="C2" s="44"/>
      <c r="D2" s="43">
        <f>SUM(D3:D350)</f>
        <v>37.13746474</v>
      </c>
      <c r="E2" s="45"/>
      <c r="F2" s="46"/>
      <c r="G2" s="44"/>
      <c r="H2" s="43">
        <f>SUM(H3:H350)</f>
        <v>1.333333333</v>
      </c>
      <c r="I2" s="45"/>
      <c r="J2" s="46">
        <f>SUM(J3:J350)</f>
        <v>28.005</v>
      </c>
      <c r="K2" s="44"/>
    </row>
    <row r="3">
      <c r="A3" s="47" t="s">
        <v>31</v>
      </c>
      <c r="B3" s="48">
        <f t="shared" ref="B3:B9" si="1">8/6</f>
        <v>1.333333333</v>
      </c>
      <c r="C3" s="49">
        <v>45761.0</v>
      </c>
      <c r="D3" s="48">
        <f>400/90.5</f>
        <v>4.419889503</v>
      </c>
      <c r="E3" s="49"/>
      <c r="F3" s="50"/>
      <c r="G3" s="51"/>
      <c r="H3" s="48">
        <f>8/6</f>
        <v>1.333333333</v>
      </c>
      <c r="I3" s="52">
        <v>45865.0</v>
      </c>
      <c r="J3" s="53">
        <v>1.33</v>
      </c>
      <c r="K3" s="49">
        <v>45309.0</v>
      </c>
    </row>
    <row r="4">
      <c r="A4" s="54"/>
      <c r="B4" s="48">
        <f t="shared" si="1"/>
        <v>1.333333333</v>
      </c>
      <c r="C4" s="49">
        <v>45832.0</v>
      </c>
      <c r="D4" s="55">
        <f>750/91+1.6</f>
        <v>9.841758242</v>
      </c>
      <c r="E4" s="49"/>
      <c r="F4" s="56"/>
      <c r="G4" s="57"/>
      <c r="H4" s="55"/>
      <c r="I4" s="52"/>
      <c r="J4" s="58">
        <v>4.0</v>
      </c>
      <c r="K4" s="49">
        <v>45374.0</v>
      </c>
    </row>
    <row r="5">
      <c r="A5" s="54"/>
      <c r="B5" s="48">
        <f t="shared" si="1"/>
        <v>1.333333333</v>
      </c>
      <c r="C5" s="49">
        <v>45862.0</v>
      </c>
      <c r="D5" s="55">
        <f>1000/90</f>
        <v>11.11111111</v>
      </c>
      <c r="E5" s="49">
        <v>45451.0</v>
      </c>
      <c r="F5" s="59"/>
      <c r="G5" s="57"/>
      <c r="H5" s="55"/>
      <c r="I5" s="52"/>
      <c r="J5" s="58">
        <v>13.3</v>
      </c>
      <c r="K5" s="49">
        <v>45679.0</v>
      </c>
    </row>
    <row r="6">
      <c r="A6" s="54"/>
      <c r="B6" s="48">
        <f t="shared" si="1"/>
        <v>1.333333333</v>
      </c>
      <c r="C6" s="49">
        <v>45895.0</v>
      </c>
      <c r="D6" s="55">
        <f>1000/85</f>
        <v>11.76470588</v>
      </c>
      <c r="E6" s="49">
        <v>45740.0</v>
      </c>
      <c r="F6" s="59"/>
      <c r="G6" s="57"/>
      <c r="H6" s="55"/>
      <c r="I6" s="52"/>
      <c r="J6" s="58">
        <f>750/80</f>
        <v>9.375</v>
      </c>
      <c r="K6" s="49">
        <v>46013.0</v>
      </c>
    </row>
    <row r="7">
      <c r="A7" s="54"/>
      <c r="B7" s="48">
        <f t="shared" si="1"/>
        <v>1.333333333</v>
      </c>
      <c r="C7" s="49">
        <v>45924.0</v>
      </c>
      <c r="D7" s="48"/>
      <c r="E7" s="60"/>
      <c r="F7" s="48"/>
      <c r="G7" s="51"/>
      <c r="H7" s="48"/>
      <c r="I7" s="52"/>
      <c r="J7" s="53"/>
      <c r="K7" s="49"/>
    </row>
    <row r="8">
      <c r="A8" s="54"/>
      <c r="B8" s="48">
        <f t="shared" si="1"/>
        <v>1.333333333</v>
      </c>
      <c r="C8" s="49">
        <v>45954.0</v>
      </c>
      <c r="D8" s="55"/>
      <c r="E8" s="61"/>
      <c r="F8" s="59"/>
      <c r="G8" s="57"/>
      <c r="H8" s="55"/>
      <c r="I8" s="52"/>
      <c r="J8" s="58"/>
      <c r="K8" s="49"/>
    </row>
    <row r="9">
      <c r="A9" s="54"/>
      <c r="B9" s="48">
        <f t="shared" si="1"/>
        <v>1.333333333</v>
      </c>
      <c r="C9" s="49">
        <v>45995.0</v>
      </c>
      <c r="D9" s="55"/>
      <c r="E9" s="61"/>
      <c r="F9" s="59"/>
      <c r="G9" s="57"/>
      <c r="H9" s="55"/>
      <c r="I9" s="52"/>
      <c r="J9" s="58"/>
      <c r="K9" s="49"/>
    </row>
    <row r="10">
      <c r="A10" s="54"/>
      <c r="B10" s="48"/>
      <c r="C10" s="49"/>
      <c r="D10" s="59"/>
      <c r="E10" s="62"/>
      <c r="F10" s="59"/>
      <c r="G10" s="57"/>
      <c r="H10" s="55"/>
      <c r="I10" s="52"/>
      <c r="J10" s="58"/>
      <c r="K10" s="49"/>
    </row>
    <row r="11">
      <c r="A11" s="54"/>
    </row>
    <row r="12">
      <c r="A12" s="54"/>
    </row>
  </sheetData>
  <drawing r:id="rId1"/>
</worksheet>
</file>